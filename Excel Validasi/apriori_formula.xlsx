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Dataset" sheetId="1" r:id="rId1"/>
    <sheet name="2_Perhitungan" sheetId="2" r:id="rId2"/>
    <sheet name="3_FrequentItemsets" sheetId="3" r:id="rId3"/>
    <sheet name="4_Rules" sheetId="4" r:id="rId4"/>
    <sheet name="5_EvaluasiMetri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TID</v>
      </c>
      <c r="B1" t="str">
        <v>Items</v>
      </c>
      <c r="C1" t="str">
        <v># Items</v>
      </c>
    </row>
    <row r="2">
      <c r="A2" t="str">
        <v>T001</v>
      </c>
      <c r="B2" t="str">
        <v>Roti, Susu, Mentega</v>
      </c>
      <c r="C2">
        <v>3</v>
      </c>
    </row>
    <row r="3">
      <c r="A3" t="str">
        <v>T002</v>
      </c>
      <c r="B3" t="str">
        <v>Roti, Susu</v>
      </c>
      <c r="C3">
        <v>2</v>
      </c>
    </row>
    <row r="4">
      <c r="A4" t="str">
        <v>T003</v>
      </c>
      <c r="B4" t="str">
        <v>Susu, Popok, Bir, Telur</v>
      </c>
      <c r="C4">
        <v>4</v>
      </c>
    </row>
    <row r="5">
      <c r="A5" t="str">
        <v>T004</v>
      </c>
      <c r="B5" t="str">
        <v>Roti, Mentega, Bir</v>
      </c>
      <c r="C5">
        <v>3</v>
      </c>
    </row>
    <row r="6">
      <c r="A6" t="str">
        <v>T005</v>
      </c>
      <c r="B6" t="str">
        <v>Roti, Susu, Popok, Bir</v>
      </c>
      <c r="C6">
        <v>4</v>
      </c>
    </row>
    <row r="7">
      <c r="A7" t="str">
        <v>T006</v>
      </c>
      <c r="B7" t="str">
        <v>Roti, Susu, Mentega, Bir</v>
      </c>
      <c r="C7">
        <v>4</v>
      </c>
    </row>
    <row r="8">
      <c r="A8" t="str">
        <v>T007</v>
      </c>
      <c r="B8" t="str">
        <v>Susu, Popok, Bir</v>
      </c>
      <c r="C8">
        <v>3</v>
      </c>
    </row>
    <row r="9">
      <c r="A9" t="str">
        <v>T008</v>
      </c>
      <c r="B9" t="str">
        <v>Roti, Susu, Popok</v>
      </c>
      <c r="C9">
        <v>3</v>
      </c>
    </row>
    <row r="10">
      <c r="A10" t="str">
        <v>T009</v>
      </c>
      <c r="B10" t="str">
        <v>Roti, Mentega</v>
      </c>
      <c r="C10">
        <v>2</v>
      </c>
    </row>
    <row r="11">
      <c r="A11" t="str">
        <v>T010</v>
      </c>
      <c r="B11" t="str">
        <v>Susu, Popok, Telur</v>
      </c>
      <c r="C11">
        <v>3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Iterasi</v>
      </c>
      <c r="B1" t="str">
        <v>Itemset</v>
      </c>
      <c r="C1" t="str">
        <v>Count</v>
      </c>
      <c r="D1" t="str">
        <v>Support</v>
      </c>
      <c r="E1" t="str">
        <v>Formula Support</v>
      </c>
      <c r="F1" t="str">
        <v>Min Support</v>
      </c>
      <c r="G1" t="str">
        <v>Status</v>
      </c>
    </row>
    <row r="2">
      <c r="A2" t="str">
        <v>L1</v>
      </c>
      <c r="B2" t="str">
        <v>{Bir}</v>
      </c>
      <c r="C2">
        <v>5</v>
      </c>
      <c r="D2">
        <f>C2/10</f>
      </c>
      <c r="E2" t="str">
        <v>=C2/10</v>
      </c>
      <c r="F2">
        <v>0.3</v>
      </c>
      <c r="G2" t="str">
        <v>Frequent</v>
      </c>
    </row>
    <row r="3">
      <c r="A3" t="str">
        <v>L1</v>
      </c>
      <c r="B3" t="str">
        <v>{Mentega}</v>
      </c>
      <c r="C3">
        <v>4</v>
      </c>
      <c r="D3">
        <f>C3/10</f>
      </c>
      <c r="E3" t="str">
        <v>=C3/10</v>
      </c>
      <c r="F3">
        <v>0.3</v>
      </c>
      <c r="G3" t="str">
        <v>Frequent</v>
      </c>
    </row>
    <row r="4">
      <c r="A4" t="str">
        <v>L1</v>
      </c>
      <c r="B4" t="str">
        <v>{Popok}</v>
      </c>
      <c r="C4">
        <v>5</v>
      </c>
      <c r="D4">
        <f>C4/10</f>
      </c>
      <c r="E4" t="str">
        <v>=C4/10</v>
      </c>
      <c r="F4">
        <v>0.3</v>
      </c>
      <c r="G4" t="str">
        <v>Frequent</v>
      </c>
    </row>
    <row r="5">
      <c r="A5" t="str">
        <v>L1</v>
      </c>
      <c r="B5" t="str">
        <v>{Roti}</v>
      </c>
      <c r="C5">
        <v>7</v>
      </c>
      <c r="D5">
        <f>C5/10</f>
      </c>
      <c r="E5" t="str">
        <v>=C5/10</v>
      </c>
      <c r="F5">
        <v>0.3</v>
      </c>
      <c r="G5" t="str">
        <v>Frequent</v>
      </c>
    </row>
    <row r="6">
      <c r="A6" t="str">
        <v>L1</v>
      </c>
      <c r="B6" t="str">
        <v>{Susu}</v>
      </c>
      <c r="C6">
        <v>8</v>
      </c>
      <c r="D6">
        <f>C6/10</f>
      </c>
      <c r="E6" t="str">
        <v>=C6/10</v>
      </c>
      <c r="F6">
        <v>0.3</v>
      </c>
      <c r="G6" t="str">
        <v>Frequent</v>
      </c>
    </row>
    <row r="7">
      <c r="A7" t="str">
        <v>L1</v>
      </c>
      <c r="B7" t="str">
        <v>{Telur}</v>
      </c>
      <c r="C7">
        <v>2</v>
      </c>
      <c r="D7">
        <f>C7/10</f>
      </c>
      <c r="E7" t="str">
        <v>=C7/10</v>
      </c>
      <c r="F7">
        <v>0.3</v>
      </c>
      <c r="G7" t="str">
        <v>Pruned</v>
      </c>
    </row>
    <row r="8">
      <c r="A8" t="str">
        <v>L2</v>
      </c>
      <c r="B8" t="str">
        <v>{Bir, Mentega}</v>
      </c>
      <c r="C8">
        <v>2</v>
      </c>
      <c r="D8">
        <f>C8/10</f>
      </c>
      <c r="E8" t="str">
        <v>=C8/10</v>
      </c>
      <c r="F8">
        <v>0.3</v>
      </c>
      <c r="G8" t="str">
        <v>Pruned</v>
      </c>
    </row>
    <row r="9">
      <c r="A9" t="str">
        <v>L2</v>
      </c>
      <c r="B9" t="str">
        <v>{Bir, Popok}</v>
      </c>
      <c r="C9">
        <v>3</v>
      </c>
      <c r="D9">
        <f>C9/10</f>
      </c>
      <c r="E9" t="str">
        <v>=C9/10</v>
      </c>
      <c r="F9">
        <v>0.3</v>
      </c>
      <c r="G9" t="str">
        <v>Frequent</v>
      </c>
    </row>
    <row r="10">
      <c r="A10" t="str">
        <v>L2</v>
      </c>
      <c r="B10" t="str">
        <v>{Bir, Roti}</v>
      </c>
      <c r="C10">
        <v>3</v>
      </c>
      <c r="D10">
        <f>C10/10</f>
      </c>
      <c r="E10" t="str">
        <v>=C10/10</v>
      </c>
      <c r="F10">
        <v>0.3</v>
      </c>
      <c r="G10" t="str">
        <v>Frequent</v>
      </c>
    </row>
    <row r="11">
      <c r="A11" t="str">
        <v>L2</v>
      </c>
      <c r="B11" t="str">
        <v>{Bir, Susu}</v>
      </c>
      <c r="C11">
        <v>4</v>
      </c>
      <c r="D11">
        <f>C11/10</f>
      </c>
      <c r="E11" t="str">
        <v>=C11/10</v>
      </c>
      <c r="F11">
        <v>0.3</v>
      </c>
      <c r="G11" t="str">
        <v>Frequent</v>
      </c>
    </row>
    <row r="12">
      <c r="A12" t="str">
        <v>L2</v>
      </c>
      <c r="B12" t="str">
        <v>{Mentega, Popok}</v>
      </c>
      <c r="C12">
        <v>0</v>
      </c>
      <c r="D12">
        <f>C12/10</f>
      </c>
      <c r="E12" t="str">
        <v>=C12/10</v>
      </c>
      <c r="F12">
        <v>0.3</v>
      </c>
      <c r="G12" t="str">
        <v>Pruned</v>
      </c>
    </row>
    <row r="13">
      <c r="A13" t="str">
        <v>L2</v>
      </c>
      <c r="B13" t="str">
        <v>{Mentega, Roti}</v>
      </c>
      <c r="C13">
        <v>4</v>
      </c>
      <c r="D13">
        <f>C13/10</f>
      </c>
      <c r="E13" t="str">
        <v>=C13/10</v>
      </c>
      <c r="F13">
        <v>0.3</v>
      </c>
      <c r="G13" t="str">
        <v>Frequent</v>
      </c>
    </row>
    <row r="14">
      <c r="A14" t="str">
        <v>L2</v>
      </c>
      <c r="B14" t="str">
        <v>{Mentega, Susu}</v>
      </c>
      <c r="C14">
        <v>2</v>
      </c>
      <c r="D14">
        <f>C14/10</f>
      </c>
      <c r="E14" t="str">
        <v>=C14/10</v>
      </c>
      <c r="F14">
        <v>0.3</v>
      </c>
      <c r="G14" t="str">
        <v>Pruned</v>
      </c>
    </row>
    <row r="15">
      <c r="A15" t="str">
        <v>L2</v>
      </c>
      <c r="B15" t="str">
        <v>{Popok, Roti}</v>
      </c>
      <c r="C15">
        <v>2</v>
      </c>
      <c r="D15">
        <f>C15/10</f>
      </c>
      <c r="E15" t="str">
        <v>=C15/10</v>
      </c>
      <c r="F15">
        <v>0.3</v>
      </c>
      <c r="G15" t="str">
        <v>Pruned</v>
      </c>
    </row>
    <row r="16">
      <c r="A16" t="str">
        <v>L2</v>
      </c>
      <c r="B16" t="str">
        <v>{Popok, Susu}</v>
      </c>
      <c r="C16">
        <v>5</v>
      </c>
      <c r="D16">
        <f>C16/10</f>
      </c>
      <c r="E16" t="str">
        <v>=C16/10</v>
      </c>
      <c r="F16">
        <v>0.3</v>
      </c>
      <c r="G16" t="str">
        <v>Frequent</v>
      </c>
    </row>
    <row r="17">
      <c r="A17" t="str">
        <v>L2</v>
      </c>
      <c r="B17" t="str">
        <v>{Roti, Susu}</v>
      </c>
      <c r="C17">
        <v>5</v>
      </c>
      <c r="D17">
        <f>C17/10</f>
      </c>
      <c r="E17" t="str">
        <v>=C17/10</v>
      </c>
      <c r="F17">
        <v>0.3</v>
      </c>
      <c r="G17" t="str">
        <v>Frequent</v>
      </c>
    </row>
    <row r="18">
      <c r="A18" t="str">
        <v>L3</v>
      </c>
      <c r="B18" t="str">
        <v>{Bir, Popok, Susu}</v>
      </c>
      <c r="C18">
        <v>3</v>
      </c>
      <c r="D18">
        <f>C18/10</f>
      </c>
      <c r="E18" t="str">
        <v>=C18/10</v>
      </c>
      <c r="F18">
        <v>0.3</v>
      </c>
      <c r="G18" t="str">
        <v>Frequent</v>
      </c>
    </row>
    <row r="19">
      <c r="A19" t="str">
        <v>L3</v>
      </c>
      <c r="B19" t="str">
        <v>{Bir, Roti, Susu}</v>
      </c>
      <c r="C19">
        <v>2</v>
      </c>
      <c r="D19">
        <f>C19/10</f>
      </c>
      <c r="E19" t="str">
        <v>=C19/10</v>
      </c>
      <c r="F19">
        <v>0.3</v>
      </c>
      <c r="G19" t="str">
        <v>Pruned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#</v>
      </c>
      <c r="B1" t="str">
        <v>K</v>
      </c>
      <c r="C1" t="str">
        <v>Itemset</v>
      </c>
      <c r="D1" t="str">
        <v>Count</v>
      </c>
      <c r="E1" t="str">
        <v>Support</v>
      </c>
      <c r="F1" t="str">
        <v>Formula</v>
      </c>
    </row>
    <row r="2">
      <c r="A2">
        <v>1</v>
      </c>
      <c r="B2">
        <v>1</v>
      </c>
      <c r="C2" t="str">
        <v>{Bir}</v>
      </c>
      <c r="D2">
        <v>5</v>
      </c>
      <c r="E2">
        <f>D2/10</f>
      </c>
      <c r="F2" t="str">
        <v>=D2/10</v>
      </c>
    </row>
    <row r="3">
      <c r="A3">
        <v>2</v>
      </c>
      <c r="B3">
        <v>1</v>
      </c>
      <c r="C3" t="str">
        <v>{Mentega}</v>
      </c>
      <c r="D3">
        <v>4</v>
      </c>
      <c r="E3">
        <f>D3/10</f>
      </c>
      <c r="F3" t="str">
        <v>=D3/10</v>
      </c>
    </row>
    <row r="4">
      <c r="A4">
        <v>3</v>
      </c>
      <c r="B4">
        <v>1</v>
      </c>
      <c r="C4" t="str">
        <v>{Popok}</v>
      </c>
      <c r="D4">
        <v>5</v>
      </c>
      <c r="E4">
        <f>D4/10</f>
      </c>
      <c r="F4" t="str">
        <v>=D4/10</v>
      </c>
    </row>
    <row r="5">
      <c r="A5">
        <v>4</v>
      </c>
      <c r="B5">
        <v>1</v>
      </c>
      <c r="C5" t="str">
        <v>{Roti}</v>
      </c>
      <c r="D5">
        <v>7</v>
      </c>
      <c r="E5">
        <f>D5/10</f>
      </c>
      <c r="F5" t="str">
        <v>=D5/10</v>
      </c>
    </row>
    <row r="6">
      <c r="A6">
        <v>5</v>
      </c>
      <c r="B6">
        <v>1</v>
      </c>
      <c r="C6" t="str">
        <v>{Susu}</v>
      </c>
      <c r="D6">
        <v>8</v>
      </c>
      <c r="E6">
        <f>D6/10</f>
      </c>
      <c r="F6" t="str">
        <v>=D6/10</v>
      </c>
    </row>
    <row r="7">
      <c r="A7">
        <v>6</v>
      </c>
      <c r="B7">
        <v>2</v>
      </c>
      <c r="C7" t="str">
        <v>{Bir, Popok}</v>
      </c>
      <c r="D7">
        <v>3</v>
      </c>
      <c r="E7">
        <f>D7/10</f>
      </c>
      <c r="F7" t="str">
        <v>=D7/10</v>
      </c>
    </row>
    <row r="8">
      <c r="A8">
        <v>7</v>
      </c>
      <c r="B8">
        <v>2</v>
      </c>
      <c r="C8" t="str">
        <v>{Bir, Roti}</v>
      </c>
      <c r="D8">
        <v>3</v>
      </c>
      <c r="E8">
        <f>D8/10</f>
      </c>
      <c r="F8" t="str">
        <v>=D8/10</v>
      </c>
    </row>
    <row r="9">
      <c r="A9">
        <v>8</v>
      </c>
      <c r="B9">
        <v>2</v>
      </c>
      <c r="C9" t="str">
        <v>{Bir, Susu}</v>
      </c>
      <c r="D9">
        <v>4</v>
      </c>
      <c r="E9">
        <f>D9/10</f>
      </c>
      <c r="F9" t="str">
        <v>=D9/10</v>
      </c>
    </row>
    <row r="10">
      <c r="A10">
        <v>9</v>
      </c>
      <c r="B10">
        <v>2</v>
      </c>
      <c r="C10" t="str">
        <v>{Mentega, Roti}</v>
      </c>
      <c r="D10">
        <v>4</v>
      </c>
      <c r="E10">
        <f>D10/10</f>
      </c>
      <c r="F10" t="str">
        <v>=D10/10</v>
      </c>
    </row>
    <row r="11">
      <c r="A11">
        <v>10</v>
      </c>
      <c r="B11">
        <v>2</v>
      </c>
      <c r="C11" t="str">
        <v>{Popok, Susu}</v>
      </c>
      <c r="D11">
        <v>5</v>
      </c>
      <c r="E11">
        <f>D11/10</f>
      </c>
      <c r="F11" t="str">
        <v>=D11/10</v>
      </c>
    </row>
    <row r="12">
      <c r="A12">
        <v>11</v>
      </c>
      <c r="B12">
        <v>2</v>
      </c>
      <c r="C12" t="str">
        <v>{Roti, Susu}</v>
      </c>
      <c r="D12">
        <v>5</v>
      </c>
      <c r="E12">
        <f>D12/10</f>
      </c>
      <c r="F12" t="str">
        <v>=D12/10</v>
      </c>
    </row>
    <row r="13">
      <c r="A13">
        <v>12</v>
      </c>
      <c r="B13">
        <v>3</v>
      </c>
      <c r="C13" t="str">
        <v>{Bir, Popok, Susu}</v>
      </c>
      <c r="D13">
        <v>3</v>
      </c>
      <c r="E13">
        <f>D13/10</f>
      </c>
      <c r="F13" t="str">
        <v>=D13/10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#</v>
      </c>
      <c r="B1" t="str">
        <v>Antecedent (X)</v>
      </c>
      <c r="C1" t="str">
        <v>Consequent (Y)</v>
      </c>
      <c r="D1" t="str">
        <v>count(X∪Y)</v>
      </c>
      <c r="E1" t="str">
        <v>count(X)</v>
      </c>
      <c r="F1" t="str">
        <v>count(Y)</v>
      </c>
      <c r="G1" t="str">
        <v>supp(X∪Y)</v>
      </c>
      <c r="H1" t="str">
        <v>supp(X)</v>
      </c>
      <c r="I1" t="str">
        <v>supp(Y)</v>
      </c>
      <c r="J1" t="str">
        <v>Confidence</v>
      </c>
      <c r="K1" t="str">
        <v>Lift</v>
      </c>
      <c r="L1" t="str">
        <v>Interpretasi</v>
      </c>
      <c r="M1" t="str">
        <v>Formula Confidence</v>
      </c>
      <c r="N1" t="str">
        <v>Formula Lift</v>
      </c>
    </row>
    <row r="2">
      <c r="A2">
        <v>1</v>
      </c>
      <c r="B2" t="str">
        <v>Bir, Susu</v>
      </c>
      <c r="C2" t="str">
        <v>Popok</v>
      </c>
      <c r="D2">
        <v>3</v>
      </c>
      <c r="E2">
        <v>4</v>
      </c>
      <c r="F2">
        <v>5</v>
      </c>
      <c r="G2">
        <f>D2/10</f>
      </c>
      <c r="H2">
        <f>E2/10</f>
      </c>
      <c r="I2">
        <f>F2/10</f>
      </c>
      <c r="J2">
        <f>G2/H2</f>
      </c>
      <c r="K2">
        <f>J2/I2</f>
      </c>
      <c r="L2" t="str">
        <v>Positif</v>
      </c>
      <c r="M2" t="str">
        <v>=G2/H2</v>
      </c>
      <c r="N2" t="str">
        <v>=J2/I2</v>
      </c>
    </row>
    <row r="3">
      <c r="A3">
        <v>2</v>
      </c>
      <c r="B3" t="str">
        <v>Popok</v>
      </c>
      <c r="C3" t="str">
        <v>Bir, Susu</v>
      </c>
      <c r="D3">
        <v>3</v>
      </c>
      <c r="E3">
        <v>5</v>
      </c>
      <c r="F3">
        <v>4</v>
      </c>
      <c r="G3">
        <f>D3/10</f>
      </c>
      <c r="H3">
        <f>E3/10</f>
      </c>
      <c r="I3">
        <f>F3/10</f>
      </c>
      <c r="J3">
        <f>G3/H3</f>
      </c>
      <c r="K3">
        <f>J3/I3</f>
      </c>
      <c r="L3" t="str">
        <v>Positif</v>
      </c>
      <c r="M3" t="str">
        <v>=G3/H3</v>
      </c>
      <c r="N3" t="str">
        <v>=J3/I3</v>
      </c>
    </row>
    <row r="4">
      <c r="A4">
        <v>3</v>
      </c>
      <c r="B4" t="str">
        <v>Mentega</v>
      </c>
      <c r="C4" t="str">
        <v>Roti</v>
      </c>
      <c r="D4">
        <v>4</v>
      </c>
      <c r="E4">
        <v>4</v>
      </c>
      <c r="F4">
        <v>7</v>
      </c>
      <c r="G4">
        <f>D4/10</f>
      </c>
      <c r="H4">
        <f>E4/10</f>
      </c>
      <c r="I4">
        <f>F4/10</f>
      </c>
      <c r="J4">
        <f>G4/H4</f>
      </c>
      <c r="K4">
        <f>J4/I4</f>
      </c>
      <c r="L4" t="str">
        <v>Positif</v>
      </c>
      <c r="M4" t="str">
        <v>=G4/H4</v>
      </c>
      <c r="N4" t="str">
        <v>=J4/I4</v>
      </c>
    </row>
    <row r="5">
      <c r="A5">
        <v>4</v>
      </c>
      <c r="B5" t="str">
        <v>Popok</v>
      </c>
      <c r="C5" t="str">
        <v>Susu</v>
      </c>
      <c r="D5">
        <v>5</v>
      </c>
      <c r="E5">
        <v>5</v>
      </c>
      <c r="F5">
        <v>8</v>
      </c>
      <c r="G5">
        <f>D5/10</f>
      </c>
      <c r="H5">
        <f>E5/10</f>
      </c>
      <c r="I5">
        <f>F5/10</f>
      </c>
      <c r="J5">
        <f>G5/H5</f>
      </c>
      <c r="K5">
        <f>J5/I5</f>
      </c>
      <c r="L5" t="str">
        <v>Positif</v>
      </c>
      <c r="M5" t="str">
        <v>=G5/H5</v>
      </c>
      <c r="N5" t="str">
        <v>=J5/I5</v>
      </c>
    </row>
    <row r="6">
      <c r="A6">
        <v>5</v>
      </c>
      <c r="B6" t="str">
        <v>Bir, Popok</v>
      </c>
      <c r="C6" t="str">
        <v>Susu</v>
      </c>
      <c r="D6">
        <v>3</v>
      </c>
      <c r="E6">
        <v>3</v>
      </c>
      <c r="F6">
        <v>8</v>
      </c>
      <c r="G6">
        <f>D6/10</f>
      </c>
      <c r="H6">
        <f>E6/10</f>
      </c>
      <c r="I6">
        <f>F6/10</f>
      </c>
      <c r="J6">
        <f>G6/H6</f>
      </c>
      <c r="K6">
        <f>J6/I6</f>
      </c>
      <c r="L6" t="str">
        <v>Positif</v>
      </c>
      <c r="M6" t="str">
        <v>=G6/H6</v>
      </c>
      <c r="N6" t="str">
        <v>=J6/I6</v>
      </c>
    </row>
    <row r="7">
      <c r="A7">
        <v>6</v>
      </c>
      <c r="B7" t="str">
        <v>Susu</v>
      </c>
      <c r="C7" t="str">
        <v>Popok</v>
      </c>
      <c r="D7">
        <v>5</v>
      </c>
      <c r="E7">
        <v>8</v>
      </c>
      <c r="F7">
        <v>5</v>
      </c>
      <c r="G7">
        <f>D7/10</f>
      </c>
      <c r="H7">
        <f>E7/10</f>
      </c>
      <c r="I7">
        <f>F7/10</f>
      </c>
      <c r="J7">
        <f>G7/H7</f>
      </c>
      <c r="K7">
        <f>J7/I7</f>
      </c>
      <c r="L7" t="str">
        <v>Positif</v>
      </c>
      <c r="M7" t="str">
        <v>=G7/H7</v>
      </c>
      <c r="N7" t="str">
        <v>=J7/I7</v>
      </c>
    </row>
    <row r="8">
      <c r="A8">
        <v>7</v>
      </c>
      <c r="B8" t="str">
        <v>Bir</v>
      </c>
      <c r="C8" t="str">
        <v>Popok</v>
      </c>
      <c r="D8">
        <v>3</v>
      </c>
      <c r="E8">
        <v>5</v>
      </c>
      <c r="F8">
        <v>5</v>
      </c>
      <c r="G8">
        <f>D8/10</f>
      </c>
      <c r="H8">
        <f>E8/10</f>
      </c>
      <c r="I8">
        <f>F8/10</f>
      </c>
      <c r="J8">
        <f>G8/H8</f>
      </c>
      <c r="K8">
        <f>J8/I8</f>
      </c>
      <c r="L8" t="str">
        <v>Positif</v>
      </c>
      <c r="M8" t="str">
        <v>=G8/H8</v>
      </c>
      <c r="N8" t="str">
        <v>=J8/I8</v>
      </c>
    </row>
    <row r="9">
      <c r="A9">
        <v>8</v>
      </c>
      <c r="B9" t="str">
        <v>Popok</v>
      </c>
      <c r="C9" t="str">
        <v>Bir</v>
      </c>
      <c r="D9">
        <v>3</v>
      </c>
      <c r="E9">
        <v>5</v>
      </c>
      <c r="F9">
        <v>5</v>
      </c>
      <c r="G9">
        <f>D9/10</f>
      </c>
      <c r="H9">
        <f>E9/10</f>
      </c>
      <c r="I9">
        <f>F9/10</f>
      </c>
      <c r="J9">
        <f>G9/H9</f>
      </c>
      <c r="K9">
        <f>J9/I9</f>
      </c>
      <c r="L9" t="str">
        <v>Positif</v>
      </c>
      <c r="M9" t="str">
        <v>=G9/H9</v>
      </c>
      <c r="N9" t="str">
        <v>=J9/I9</v>
      </c>
    </row>
    <row r="10">
      <c r="A10">
        <v>9</v>
      </c>
      <c r="B10" t="str">
        <v>Bir</v>
      </c>
      <c r="C10" t="str">
        <v>Popok, Susu</v>
      </c>
      <c r="D10">
        <v>3</v>
      </c>
      <c r="E10">
        <v>5</v>
      </c>
      <c r="F10">
        <v>5</v>
      </c>
      <c r="G10">
        <f>D10/10</f>
      </c>
      <c r="H10">
        <f>E10/10</f>
      </c>
      <c r="I10">
        <f>F10/10</f>
      </c>
      <c r="J10">
        <f>G10/H10</f>
      </c>
      <c r="K10">
        <f>J10/I10</f>
      </c>
      <c r="L10" t="str">
        <v>Positif</v>
      </c>
      <c r="M10" t="str">
        <v>=G10/H10</v>
      </c>
      <c r="N10" t="str">
        <v>=J10/I10</v>
      </c>
    </row>
    <row r="11">
      <c r="A11">
        <v>10</v>
      </c>
      <c r="B11" t="str">
        <v>Popok, Susu</v>
      </c>
      <c r="C11" t="str">
        <v>Bir</v>
      </c>
      <c r="D11">
        <v>3</v>
      </c>
      <c r="E11">
        <v>5</v>
      </c>
      <c r="F11">
        <v>5</v>
      </c>
      <c r="G11">
        <f>D11/10</f>
      </c>
      <c r="H11">
        <f>E11/10</f>
      </c>
      <c r="I11">
        <f>F11/10</f>
      </c>
      <c r="J11">
        <f>G11/H11</f>
      </c>
      <c r="K11">
        <f>J11/I11</f>
      </c>
      <c r="L11" t="str">
        <v>Positif</v>
      </c>
      <c r="M11" t="str">
        <v>=G11/H11</v>
      </c>
      <c r="N11" t="str">
        <v>=J11/I11</v>
      </c>
    </row>
    <row r="12">
      <c r="A12">
        <v>11</v>
      </c>
      <c r="B12" t="str">
        <v>Bir</v>
      </c>
      <c r="C12" t="str">
        <v>Susu</v>
      </c>
      <c r="D12">
        <v>4</v>
      </c>
      <c r="E12">
        <v>5</v>
      </c>
      <c r="F12">
        <v>8</v>
      </c>
      <c r="G12">
        <f>D12/10</f>
      </c>
      <c r="H12">
        <f>E12/10</f>
      </c>
      <c r="I12">
        <f>F12/10</f>
      </c>
      <c r="J12">
        <f>G12/H12</f>
      </c>
      <c r="K12">
        <f>J12/I12</f>
      </c>
      <c r="L12" t="str">
        <v>Independen</v>
      </c>
      <c r="M12" t="str">
        <v>=G12/H12</v>
      </c>
      <c r="N12" t="str">
        <v>=J12/I12</v>
      </c>
    </row>
    <row r="13">
      <c r="A13">
        <v>12</v>
      </c>
      <c r="B13" t="str">
        <v>Roti</v>
      </c>
      <c r="C13" t="str">
        <v>Susu</v>
      </c>
      <c r="D13">
        <v>5</v>
      </c>
      <c r="E13">
        <v>7</v>
      </c>
      <c r="F13">
        <v>8</v>
      </c>
      <c r="G13">
        <f>D13/10</f>
      </c>
      <c r="H13">
        <f>E13/10</f>
      </c>
      <c r="I13">
        <f>F13/10</f>
      </c>
      <c r="J13">
        <f>G13/H13</f>
      </c>
      <c r="K13">
        <f>J13/I13</f>
      </c>
      <c r="L13" t="str">
        <v>Negatif</v>
      </c>
      <c r="M13" t="str">
        <v>=G13/H13</v>
      </c>
      <c r="N13" t="str">
        <v>=J13/I13</v>
      </c>
    </row>
    <row r="14">
      <c r="A14">
        <v>13</v>
      </c>
      <c r="B14" t="str">
        <v>Susu</v>
      </c>
      <c r="C14" t="str">
        <v>Roti</v>
      </c>
      <c r="D14">
        <v>5</v>
      </c>
      <c r="E14">
        <v>8</v>
      </c>
      <c r="F14">
        <v>7</v>
      </c>
      <c r="G14">
        <f>D14/10</f>
      </c>
      <c r="H14">
        <f>E14/10</f>
      </c>
      <c r="I14">
        <f>F14/10</f>
      </c>
      <c r="J14">
        <f>G14/H14</f>
      </c>
      <c r="K14">
        <f>J14/I14</f>
      </c>
      <c r="L14" t="str">
        <v>Negatif</v>
      </c>
      <c r="M14" t="str">
        <v>=G14/H14</v>
      </c>
      <c r="N14" t="str">
        <v>=J14/I14</v>
      </c>
    </row>
    <row r="15">
      <c r="A15">
        <v>14</v>
      </c>
      <c r="B15" t="str">
        <v>Bir</v>
      </c>
      <c r="C15" t="str">
        <v>Roti</v>
      </c>
      <c r="D15">
        <v>3</v>
      </c>
      <c r="E15">
        <v>5</v>
      </c>
      <c r="F15">
        <v>7</v>
      </c>
      <c r="G15">
        <f>D15/10</f>
      </c>
      <c r="H15">
        <f>E15/10</f>
      </c>
      <c r="I15">
        <f>F15/10</f>
      </c>
      <c r="J15">
        <f>G15/H15</f>
      </c>
      <c r="K15">
        <f>J15/I15</f>
      </c>
      <c r="L15" t="str">
        <v>Negatif</v>
      </c>
      <c r="M15" t="str">
        <v>=G15/H15</v>
      </c>
      <c r="N15" t="str">
        <v>=J15/I15</v>
      </c>
    </row>
  </sheetData>
  <ignoredErrors>
    <ignoredError numberStoredAsText="1" sqref="A1:N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Metrik</v>
      </c>
      <c r="B1" t="str">
        <v>Nilai</v>
      </c>
      <c r="C1" t="str">
        <v>Formula/Keterangan</v>
      </c>
    </row>
    <row r="2">
      <c r="A2" t="str">
        <v>Total Transaksi</v>
      </c>
      <c r="B2">
        <v>10</v>
      </c>
      <c r="C2" t="str">
        <v>=COUNTA(Sheet1!A:A)-1</v>
      </c>
    </row>
    <row r="3">
      <c r="A3" t="str">
        <v>Total Item Unik</v>
      </c>
      <c r="B3">
        <v>6</v>
      </c>
      <c r="C3" t="str">
        <v>Bir, Mentega, Popok, Roti, Susu, Telur</v>
      </c>
    </row>
    <row r="4">
      <c r="A4" t="str">
        <v>Min Support (threshold)</v>
      </c>
      <c r="B4">
        <v>0.3</v>
      </c>
      <c r="C4" t="str">
        <v>30%</v>
      </c>
    </row>
    <row r="5">
      <c r="A5" t="str">
        <v>Min Confidence (threshold)</v>
      </c>
      <c r="B5">
        <v>0.6</v>
      </c>
      <c r="C5" t="str">
        <v>60%</v>
      </c>
    </row>
    <row r="6">
      <c r="A6" t="str">
        <v>Jumlah Frequent Itemsets</v>
      </c>
      <c r="B6">
        <v>12</v>
      </c>
      <c r="C6" t="str">
        <v/>
      </c>
    </row>
    <row r="7">
      <c r="A7" t="str">
        <v>Jumlah Association Rules</v>
      </c>
      <c r="B7">
        <v>14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=== TOP RULES ===</v>
      </c>
      <c r="B9" t="str">
        <v/>
      </c>
      <c r="C9" t="str">
        <v/>
      </c>
    </row>
    <row r="10">
      <c r="A10" t="str">
        <v>Rule</v>
      </c>
      <c r="B10" t="str">
        <v>Confidence</v>
      </c>
      <c r="C10" t="str">
        <v>Lift</v>
      </c>
    </row>
    <row r="11">
      <c r="A11" t="str">
        <v>{Bir,Susu} → {Popok}</v>
      </c>
      <c r="B11">
        <f>0.300000/0.400000</f>
      </c>
      <c r="C11">
        <f>0.750000/0.500000</f>
      </c>
    </row>
    <row r="12">
      <c r="A12" t="str">
        <v>{Popok} → {Bir,Susu}</v>
      </c>
      <c r="B12">
        <f>0.300000/0.500000</f>
      </c>
      <c r="C12">
        <f>0.600000/0.400000</f>
      </c>
    </row>
    <row r="13">
      <c r="A13" t="str">
        <v>{Mentega} → {Roti}</v>
      </c>
      <c r="B13">
        <f>0.400000/0.400000</f>
      </c>
      <c r="C13">
        <f>1.000000/0.700000</f>
      </c>
    </row>
    <row r="14">
      <c r="A14" t="str">
        <v>{Popok} → {Susu}</v>
      </c>
      <c r="B14">
        <f>0.500000/0.500000</f>
      </c>
      <c r="C14">
        <f>1.000000/0.800000</f>
      </c>
    </row>
    <row r="15">
      <c r="A15" t="str">
        <v>{Bir,Popok} → {Susu}</v>
      </c>
      <c r="B15">
        <f>0.300000/0.300000</f>
      </c>
      <c r="C15">
        <f>1.000000/0.800000</f>
      </c>
    </row>
    <row r="16">
      <c r="A16" t="str">
        <v/>
      </c>
      <c r="B16" t="str">
        <v/>
      </c>
      <c r="C16" t="str">
        <v/>
      </c>
    </row>
    <row r="17">
      <c r="A17" t="str">
        <v>=== FORMULA REFERENSI ===</v>
      </c>
      <c r="B17" t="str">
        <v/>
      </c>
      <c r="C17" t="str">
        <v/>
      </c>
    </row>
    <row r="18">
      <c r="A18" t="str">
        <v>supp(X)</v>
      </c>
      <c r="B18" t="str">
        <v>= count(X) / |T|</v>
      </c>
      <c r="C18" t="str">
        <v>count(X) dibagi total 10 transaksi</v>
      </c>
    </row>
    <row r="19">
      <c r="A19" t="str">
        <v>conf(X→Y)</v>
      </c>
      <c r="B19" t="str">
        <v>= supp(X∪Y) / supp(X)</v>
      </c>
      <c r="C19" t="str">
        <v>Proporsi X yang juga mengandung Y</v>
      </c>
    </row>
    <row r="20">
      <c r="A20" t="str">
        <v>lift(X→Y)</v>
      </c>
      <c r="B20" t="str">
        <v>= conf(X→Y) / supp(Y)</v>
      </c>
      <c r="C20" t="str">
        <v>&gt;1 positif, =1 independen, &lt;1 negatif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1_Dataset</vt:lpstr>
      <vt:lpstr>2_Perhitungan</vt:lpstr>
      <vt:lpstr>3_FrequentItemsets</vt:lpstr>
      <vt:lpstr>4_Rules</vt:lpstr>
      <vt:lpstr>5_EvaluasiMetrik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